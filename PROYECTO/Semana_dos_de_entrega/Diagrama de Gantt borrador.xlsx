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15" documentId="8_{E581D048-33C8-4C05-968F-47BF3FC3E828}" xr6:coauthVersionLast="47" xr6:coauthVersionMax="47" xr10:uidLastSave="{D2A2B732-D026-4B3B-8D81-E3891B3A3E83}"/>
  <bookViews>
    <workbookView xWindow="-108" yWindow="-108" windowWidth="23256" windowHeight="1317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11" l="1"/>
  <c r="E3" i="11"/>
  <c r="H7" i="11"/>
  <c r="E9" i="11" l="1"/>
  <c r="H33" i="11"/>
  <c r="H32" i="11"/>
  <c r="H26" i="11"/>
  <c r="H20" i="11"/>
  <c r="H14" i="11"/>
  <c r="H8" i="11"/>
  <c r="F9" i="11" l="1"/>
  <c r="E10" i="11" s="1"/>
  <c r="E13" i="11" s="1"/>
  <c r="F13" i="11" s="1"/>
  <c r="H9" i="11"/>
  <c r="F10" i="11"/>
  <c r="E11" i="11" s="1"/>
  <c r="E15" i="11"/>
  <c r="F15" i="11" l="1"/>
  <c r="E16" i="11"/>
  <c r="F16" i="11"/>
  <c r="H10" i="11" s="1"/>
  <c r="H15" i="11"/>
  <c r="H13" i="11"/>
  <c r="F11" i="11"/>
  <c r="E12" i="11" s="1"/>
  <c r="F12" i="11" s="1"/>
  <c r="J5" i="11"/>
  <c r="K5" i="11" s="1"/>
  <c r="L5" i="11" s="1"/>
  <c r="M5" i="11" s="1"/>
  <c r="N5" i="11" s="1"/>
  <c r="O5" i="11" s="1"/>
  <c r="P5" i="11" s="1"/>
  <c r="P4" i="11" s="1"/>
  <c r="I4" i="11"/>
  <c r="H16" i="11" l="1"/>
  <c r="H11" i="11"/>
  <c r="H12" i="11"/>
  <c r="Q5" i="11"/>
  <c r="R5" i="11" s="1"/>
  <c r="J6" i="11"/>
  <c r="S5" i="11" l="1"/>
  <c r="T5" i="11" s="1"/>
  <c r="U5" i="11" s="1"/>
  <c r="V5" i="11" s="1"/>
  <c r="W5" i="11" s="1"/>
  <c r="K6" i="11"/>
  <c r="W4" i="11" l="1"/>
  <c r="X5" i="11"/>
  <c r="Y5" i="11" s="1"/>
  <c r="Z5" i="11" s="1"/>
  <c r="AA5" i="11" s="1"/>
  <c r="AB5" i="11" s="1"/>
  <c r="AC5" i="11" s="1"/>
  <c r="AD5" i="11" s="1"/>
  <c r="AE5" i="11"/>
  <c r="AF5" i="11" s="1"/>
  <c r="AG5" i="11" s="1"/>
  <c r="AH5" i="11" s="1"/>
  <c r="AD4" i="11"/>
  <c r="L6" i="11"/>
  <c r="AI5" i="11" l="1"/>
  <c r="AJ5" i="11" s="1"/>
  <c r="AK5" i="11" s="1"/>
  <c r="AL5" i="11" s="1"/>
  <c r="E17" i="11"/>
  <c r="F17" i="11" s="1"/>
  <c r="H17" i="11" s="1"/>
  <c r="M6" i="11"/>
  <c r="AM5" i="11" l="1"/>
  <c r="AN5" i="11" s="1"/>
  <c r="AO5" i="11" s="1"/>
  <c r="AP5" i="11" s="1"/>
  <c r="E18" i="11"/>
  <c r="AK4" i="11"/>
  <c r="N6" i="11"/>
  <c r="F18" i="11" l="1"/>
  <c r="E19" i="11"/>
  <c r="F19" i="11" s="1"/>
  <c r="H19" i="11" s="1"/>
  <c r="H18" i="11"/>
  <c r="AQ5" i="11"/>
  <c r="AR5" i="11" s="1"/>
  <c r="AS5" i="11" s="1"/>
  <c r="AT5" i="11" s="1"/>
  <c r="E21" i="11"/>
  <c r="AS6" i="11"/>
  <c r="AR4" i="11"/>
  <c r="O6" i="11"/>
  <c r="F21" i="11" l="1"/>
  <c r="E22" i="11" s="1"/>
  <c r="H21" i="11"/>
  <c r="AU5" i="11"/>
  <c r="AT6" i="11"/>
  <c r="F22" i="11" l="1"/>
  <c r="H22" i="11"/>
  <c r="E23" i="11"/>
  <c r="AV5" i="11"/>
  <c r="AU6" i="11"/>
  <c r="P6" i="11"/>
  <c r="Q6" i="11"/>
  <c r="E25" i="11" l="1"/>
  <c r="F23" i="11"/>
  <c r="H23" i="11"/>
  <c r="AW5" i="11"/>
  <c r="AV6" i="11"/>
  <c r="R6" i="11"/>
  <c r="F25" i="11" l="1"/>
  <c r="H25" i="11" s="1"/>
  <c r="AX5" i="1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E24" i="11" s="1"/>
  <c r="F24" i="11" s="1"/>
  <c r="H24" i="11" s="1"/>
  <c r="BF4" i="11"/>
  <c r="Z6" i="11" s="1"/>
  <c r="AA6" i="11"/>
  <c r="BG6" i="11" l="1"/>
  <c r="BH5" i="11"/>
  <c r="AB6" i="11"/>
  <c r="BI5" i="11" l="1"/>
  <c r="BH6" i="11"/>
  <c r="AC6" i="11"/>
  <c r="BJ5" i="11" l="1"/>
  <c r="BI6" i="11"/>
  <c r="AD6" i="11"/>
  <c r="BK5" i="11" l="1"/>
  <c r="BJ6" i="11"/>
  <c r="AE6" i="11"/>
  <c r="BL5" i="11" l="1"/>
  <c r="BM5" i="11" s="1"/>
  <c r="BK6" i="11"/>
  <c r="AF6" i="11"/>
  <c r="BN5" i="11" l="1"/>
  <c r="BM4" i="11"/>
  <c r="BM6" i="11"/>
  <c r="BL6" i="11"/>
  <c r="AG6" i="11"/>
  <c r="BO5" i="11" l="1"/>
  <c r="BN6" i="11"/>
  <c r="AH6" i="11"/>
  <c r="BP5" i="11" l="1"/>
  <c r="BO6" i="11"/>
  <c r="AI6" i="11"/>
  <c r="BQ5" i="11" l="1"/>
  <c r="E29" i="11"/>
  <c r="E28" i="11"/>
  <c r="E27" i="11"/>
  <c r="BP6" i="11"/>
  <c r="AJ6" i="11"/>
  <c r="F27" i="11" l="1"/>
  <c r="H27" i="11"/>
  <c r="F28" i="11"/>
  <c r="H28" i="11"/>
  <c r="F29" i="11"/>
  <c r="E30" i="11" s="1"/>
  <c r="H29" i="11"/>
  <c r="BR5" i="11"/>
  <c r="BQ6" i="11"/>
  <c r="AK6" i="11"/>
  <c r="F30" i="11" l="1"/>
  <c r="H30" i="11"/>
  <c r="BS5" i="11"/>
  <c r="BR6" i="11"/>
  <c r="AL6" i="11"/>
  <c r="BT5" i="11" l="1"/>
  <c r="BS6" i="11"/>
  <c r="AM6" i="11"/>
  <c r="BT6" i="11" l="1"/>
  <c r="BT4" i="11"/>
  <c r="BU5" i="11"/>
  <c r="AN6" i="11"/>
  <c r="BV5" i="11" l="1"/>
  <c r="BU6" i="11"/>
  <c r="AO6" i="11"/>
  <c r="BW5" i="11" l="1"/>
  <c r="BV6" i="11"/>
  <c r="AP6" i="11"/>
  <c r="BX5" i="11" l="1"/>
  <c r="BW6" i="11"/>
  <c r="E31" i="11"/>
  <c r="AQ6" i="11"/>
  <c r="F31" i="11" l="1"/>
  <c r="H31" i="11"/>
  <c r="BY5" i="11"/>
  <c r="BX6" i="11"/>
  <c r="AR6" i="11"/>
  <c r="BZ5" i="11" l="1"/>
  <c r="BZ6" i="11" s="1"/>
  <c r="BY6" i="11"/>
</calcChain>
</file>

<file path=xl/sharedStrings.xml><?xml version="1.0" encoding="utf-8"?>
<sst xmlns="http://schemas.openxmlformats.org/spreadsheetml/2006/main" count="85" uniqueCount="69">
  <si>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</si>
  <si>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</si>
  <si>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</si>
  <si>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</si>
  <si>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</si>
  <si>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</si>
  <si>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</si>
  <si>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</si>
  <si>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</si>
  <si>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</si>
  <si>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</si>
  <si>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</si>
  <si>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</si>
  <si>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</si>
  <si>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</si>
  <si>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</si>
  <si>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</si>
  <si>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</si>
  <si>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</si>
  <si>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</si>
  <si>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</si>
  <si>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</si>
  <si>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</si>
  <si>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</si>
  <si>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</si>
  <si>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</si>
  <si>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</si>
  <si>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</si>
  <si>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</si>
  <si>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</si>
  <si>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</si>
  <si>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</si>
  <si>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</si>
  <si>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</si>
  <si>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</si>
  <si>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</si>
  <si>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</si>
  <si>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</si>
  <si>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 xml:space="preserve">Planeacion </t>
  </si>
  <si>
    <t>Diseño</t>
  </si>
  <si>
    <t>Desarrollo</t>
  </si>
  <si>
    <t xml:space="preserve">Pruebas y Publicacion </t>
  </si>
  <si>
    <t>PAGINA WEB DE ROPA</t>
  </si>
  <si>
    <t>Yagami, Said y Owen</t>
  </si>
  <si>
    <t>Owen</t>
  </si>
  <si>
    <t>Creacion del boceto de la pagina</t>
  </si>
  <si>
    <t>Diseñar el logo de la tienda</t>
  </si>
  <si>
    <t>Yagami</t>
  </si>
  <si>
    <t>Se seleccionan los colores y la tipografía del sitio web</t>
  </si>
  <si>
    <t>Se diseña la página principal.</t>
  </si>
  <si>
    <t>Yagami y Said</t>
  </si>
  <si>
    <t>Se diseñan las secciones de catálogo y contacto.</t>
  </si>
  <si>
    <t>Se crea la estructura del sitio web utilizando HTML.</t>
  </si>
  <si>
    <t>Se diseñan los estilos de la página utilizando CSS.</t>
  </si>
  <si>
    <t>Said</t>
  </si>
  <si>
    <t>Se programan las funciones de la página utilizando JavaScript.</t>
  </si>
  <si>
    <t>Se crea la base de datos de productos.</t>
  </si>
  <si>
    <t>Se implementa el carrito de compras.</t>
  </si>
  <si>
    <t>Se revisa que todos los enlaces funcionen correctamente.</t>
  </si>
  <si>
    <t>Se define el objetivo de la página web</t>
  </si>
  <si>
    <t>Se investigan páginas web de ropa similares</t>
  </si>
  <si>
    <t>Se define el público objetivo</t>
  </si>
  <si>
    <t>Se elige el nombre de la tienda</t>
  </si>
  <si>
    <t>Se determinan los productos que se venderán</t>
  </si>
  <si>
    <t>Se prueba el funcionamiento del carrito de compras.</t>
  </si>
  <si>
    <t>Se corrigen los errores detectados en la página web.</t>
  </si>
  <si>
    <t>Se publica la página web en un servidor.</t>
  </si>
  <si>
    <t>Se promociona la página web en redes sociales.</t>
  </si>
  <si>
    <t>Responsable del Proyecto: Garcia Santiago Yagami Joshbell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</si>
</sst>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top style="medium">
        <color theme="0" tint="-0.14996795556505021"/>
      </top>
      <bottom/>
      <diagonal/>
    </border>
    <border>
      <left/>
      <right style="thin">
        <color rgb="FFC00000"/>
      </right>
      <top style="thin">
        <color theme="0" tint="-0.34998626667073579"/>
      </top>
      <bottom/>
      <diagonal/>
    </border>
    <border>
      <left style="thin">
        <color theme="0" tint="-0.34998626667073579"/>
      </left>
      <right style="thin">
        <color rgb="FFC00000"/>
      </right>
      <top/>
      <bottom/>
      <diagonal/>
    </border>
    <border>
      <left/>
      <right style="thin">
        <color rgb="FFC00000"/>
      </right>
      <top/>
      <bottom style="thin">
        <color theme="0" tint="-0.34998626667073579"/>
      </bottom>
      <diagonal/>
    </border>
    <border>
      <left/>
      <right style="thin">
        <color theme="0" tint="-0.34998626667073579"/>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right style="thin">
        <color rgb="FFC00000"/>
      </right>
      <top/>
      <bottom/>
      <diagonal/>
    </border>
    <border>
      <left/>
      <right style="thin">
        <color theme="0" tint="-0.14993743705557422"/>
      </right>
      <top style="medium">
        <color theme="0" tint="-0.14996795556505021"/>
      </top>
      <bottom style="medium">
        <color theme="0" tint="-0.14996795556505021"/>
      </bottom>
      <diagonal/>
    </border>
    <border>
      <left style="thin">
        <color theme="0" tint="-0.34998626667073579"/>
      </left>
      <right style="thin">
        <color rgb="FF969696"/>
      </right>
      <top/>
      <bottom style="medium">
        <color theme="0" tint="-0.14996795556505021"/>
      </bottom>
      <diagonal/>
    </border>
    <border>
      <left/>
      <right style="thin">
        <color rgb="FF969696"/>
      </right>
      <top/>
      <bottom/>
      <diagonal/>
    </border>
    <border>
      <left style="thin">
        <color theme="0" tint="-0.14993743705557422"/>
      </left>
      <right style="thin">
        <color theme="0" tint="-0.14993743705557422"/>
      </right>
      <top style="thin">
        <color rgb="FF969696"/>
      </top>
      <bottom style="medium">
        <color theme="0" tint="-0.14996795556505021"/>
      </bottom>
      <diagonal/>
    </border>
    <border>
      <left style="thin">
        <color rgb="FF969696"/>
      </left>
      <right style="thin">
        <color rgb="FF969696"/>
      </right>
      <top style="thin">
        <color rgb="FF969696"/>
      </top>
      <bottom style="thin">
        <color rgb="FF969696"/>
      </bottom>
      <diagonal/>
    </border>
    <border>
      <left/>
      <right style="thin">
        <color theme="0" tint="-0.14993743705557422"/>
      </right>
      <top style="medium">
        <color theme="0" tint="-0.14996795556505021"/>
      </top>
      <bottom/>
      <diagonal/>
    </border>
    <border>
      <left/>
      <right style="thin">
        <color rgb="FF969696"/>
      </right>
      <top/>
      <bottom style="thin">
        <color rgb="FF969696"/>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1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0" fillId="8" borderId="2" xfId="0" applyNumberFormat="1" applyFill="1" applyBorder="1" applyAlignment="1">
      <alignment horizontal="center" vertical="center"/>
    </xf>
    <xf numFmtId="170" fontId="5"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5"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5" fillId="6" borderId="2" xfId="0" applyNumberFormat="1" applyFont="1" applyFill="1" applyBorder="1" applyAlignment="1">
      <alignment horizontal="center" vertical="center"/>
    </xf>
    <xf numFmtId="170" fontId="9" fillId="11" borderId="2" xfId="10" applyFill="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10" borderId="2" xfId="10" applyFill="1">
      <alignment horizontal="center" vertical="center"/>
    </xf>
    <xf numFmtId="170" fontId="9" fillId="0" borderId="2" xfId="10">
      <alignment horizontal="center"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7" fillId="13" borderId="20" xfId="0" applyFont="1" applyFill="1" applyBorder="1" applyAlignment="1">
      <alignment horizontal="center" vertical="center" wrapText="1"/>
    </xf>
    <xf numFmtId="171" fontId="11" fillId="7" borderId="21" xfId="0" applyNumberFormat="1" applyFont="1" applyFill="1" applyBorder="1" applyAlignment="1">
      <alignment horizontal="center" vertical="center"/>
    </xf>
    <xf numFmtId="0" fontId="0" fillId="0" borderId="22" xfId="0" applyBorder="1"/>
    <xf numFmtId="0" fontId="12" fillId="12" borderId="23" xfId="0" applyFont="1" applyFill="1" applyBorder="1" applyAlignment="1">
      <alignment horizontal="center" vertical="center" shrinkToFit="1"/>
    </xf>
    <xf numFmtId="0" fontId="0" fillId="0" borderId="24" xfId="0" applyBorder="1" applyAlignment="1">
      <alignment vertical="center"/>
    </xf>
    <xf numFmtId="0" fontId="12" fillId="12" borderId="25" xfId="0" applyFont="1" applyFill="1" applyBorder="1" applyAlignment="1">
      <alignment horizontal="center" vertical="center" shrinkToFit="1"/>
    </xf>
    <xf numFmtId="0" fontId="0" fillId="0" borderId="26" xfId="0" applyBorder="1" applyAlignment="1">
      <alignment vertical="center"/>
    </xf>
    <xf numFmtId="0" fontId="12" fillId="12" borderId="27" xfId="0" applyFont="1" applyFill="1" applyBorder="1" applyAlignment="1">
      <alignment horizontal="center" vertical="center" shrinkToFit="1"/>
    </xf>
    <xf numFmtId="0" fontId="0" fillId="0" borderId="29" xfId="0" applyBorder="1" applyAlignment="1">
      <alignment vertical="center"/>
    </xf>
    <xf numFmtId="0" fontId="0" fillId="0" borderId="26" xfId="0" applyBorder="1" applyAlignment="1">
      <alignment horizontal="right" vertical="center"/>
    </xf>
    <xf numFmtId="0" fontId="0" fillId="0" borderId="31" xfId="0" applyBorder="1" applyAlignment="1">
      <alignment vertical="center"/>
    </xf>
    <xf numFmtId="0" fontId="0" fillId="0" borderId="30" xfId="0" applyBorder="1" applyAlignment="1">
      <alignment vertical="center"/>
    </xf>
    <xf numFmtId="0" fontId="0" fillId="0" borderId="30" xfId="0" applyBorder="1" applyAlignment="1">
      <alignment horizontal="right" vertical="center"/>
    </xf>
    <xf numFmtId="0" fontId="12" fillId="12" borderId="28" xfId="0" applyFont="1" applyFill="1" applyBorder="1" applyAlignment="1">
      <alignment horizontal="center" vertical="center" shrinkToFit="1"/>
    </xf>
    <xf numFmtId="0" fontId="0" fillId="0" borderId="32" xfId="0" applyBorder="1" applyAlignment="1">
      <alignment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xf numFmtId="171" fontId="11" fillId="7" borderId="0" xfId="0" applyNumberFormat="1" applyFont="1" applyFill="1" applyBorder="1" applyAlignment="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1">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215881"/>
      <color rgb="FF42648A"/>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F40"/>
  <sheetViews>
    <sheetView showGridLines="0" tabSelected="1" showRuler="0" zoomScale="43" zoomScaleNormal="205" zoomScalePageLayoutView="70" workbookViewId="0">
      <pane ySplit="6" topLeftCell="A8" activePane="bottomLeft" state="frozen"/>
      <selection pane="bottomLeft" activeCell="BZ31" sqref="BZ31"/>
    </sheetView>
  </sheetViews>
  <sheetFormatPr baseColWidth="10" defaultColWidth="9.109375" defaultRowHeight="30" customHeight="1" x14ac:dyDescent="0.3"/>
  <cols>
    <col min="1" max="1" width="2.6640625" style="44" customWidth="1"/>
    <col min="2" max="2" width="64.77734375"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78" width="3.33203125" customWidth="1"/>
  </cols>
  <sheetData>
    <row r="1" spans="1:78" ht="30" customHeight="1" x14ac:dyDescent="0.55000000000000004">
      <c r="A1" s="45" t="s">
        <v>0</v>
      </c>
      <c r="B1" s="48" t="s">
        <v>42</v>
      </c>
      <c r="C1" s="1"/>
      <c r="D1" s="2"/>
      <c r="E1" s="4"/>
      <c r="F1" s="33"/>
      <c r="H1" s="2"/>
      <c r="I1" s="66"/>
    </row>
    <row r="2" spans="1:78" ht="30" customHeight="1" x14ac:dyDescent="0.35">
      <c r="A2" s="44" t="s">
        <v>1</v>
      </c>
      <c r="B2" s="49"/>
      <c r="I2" s="67"/>
    </row>
    <row r="3" spans="1:78" ht="30" customHeight="1" x14ac:dyDescent="0.3">
      <c r="A3" s="44" t="s">
        <v>2</v>
      </c>
      <c r="B3" s="50" t="s">
        <v>68</v>
      </c>
      <c r="C3" s="109" t="s">
        <v>16</v>
      </c>
      <c r="D3" s="110"/>
      <c r="E3" s="108">
        <f>DATE(2026,3,4)</f>
        <v>46085</v>
      </c>
      <c r="F3" s="108"/>
    </row>
    <row r="4" spans="1:78" ht="30" customHeight="1" x14ac:dyDescent="0.3">
      <c r="A4" s="45" t="s">
        <v>3</v>
      </c>
      <c r="C4" s="109" t="s">
        <v>17</v>
      </c>
      <c r="D4" s="110"/>
      <c r="E4" s="7">
        <v>1</v>
      </c>
      <c r="I4" s="105">
        <f>I5</f>
        <v>46085</v>
      </c>
      <c r="J4" s="106"/>
      <c r="K4" s="106"/>
      <c r="L4" s="106"/>
      <c r="M4" s="106"/>
      <c r="N4" s="106"/>
      <c r="O4" s="107"/>
      <c r="P4" s="105">
        <f>P5</f>
        <v>46092</v>
      </c>
      <c r="Q4" s="106"/>
      <c r="R4" s="106"/>
      <c r="S4" s="106"/>
      <c r="T4" s="106"/>
      <c r="U4" s="106"/>
      <c r="V4" s="107"/>
      <c r="W4" s="105">
        <f>W5</f>
        <v>46099</v>
      </c>
      <c r="X4" s="106"/>
      <c r="Y4" s="106"/>
      <c r="Z4" s="106"/>
      <c r="AA4" s="106"/>
      <c r="AB4" s="106"/>
      <c r="AC4" s="107"/>
      <c r="AD4" s="105">
        <f>AD5</f>
        <v>46106</v>
      </c>
      <c r="AE4" s="106"/>
      <c r="AF4" s="106"/>
      <c r="AG4" s="106"/>
      <c r="AH4" s="106"/>
      <c r="AI4" s="106"/>
      <c r="AJ4" s="107"/>
      <c r="AK4" s="105">
        <f>AK5</f>
        <v>46113</v>
      </c>
      <c r="AL4" s="106"/>
      <c r="AM4" s="106"/>
      <c r="AN4" s="106"/>
      <c r="AO4" s="106"/>
      <c r="AP4" s="106"/>
      <c r="AQ4" s="107"/>
      <c r="AR4" s="105">
        <f>AR5</f>
        <v>46120</v>
      </c>
      <c r="AS4" s="106"/>
      <c r="AT4" s="106"/>
      <c r="AU4" s="106"/>
      <c r="AV4" s="106"/>
      <c r="AW4" s="106"/>
      <c r="AX4" s="107"/>
      <c r="AY4" s="105">
        <f>AY5</f>
        <v>46127</v>
      </c>
      <c r="AZ4" s="106"/>
      <c r="BA4" s="106"/>
      <c r="BB4" s="106"/>
      <c r="BC4" s="106"/>
      <c r="BD4" s="106"/>
      <c r="BE4" s="107"/>
      <c r="BF4" s="105">
        <f>BF5</f>
        <v>46134</v>
      </c>
      <c r="BG4" s="106"/>
      <c r="BH4" s="106"/>
      <c r="BI4" s="106"/>
      <c r="BJ4" s="106"/>
      <c r="BK4" s="106"/>
      <c r="BL4" s="107"/>
      <c r="BM4" s="105">
        <f>BM5</f>
        <v>46141</v>
      </c>
      <c r="BN4" s="106"/>
      <c r="BO4" s="106"/>
      <c r="BP4" s="106"/>
      <c r="BQ4" s="106"/>
      <c r="BR4" s="106"/>
      <c r="BS4" s="107"/>
      <c r="BT4" s="105">
        <f>BT5</f>
        <v>46148</v>
      </c>
      <c r="BU4" s="106"/>
      <c r="BV4" s="106"/>
      <c r="BW4" s="106"/>
      <c r="BX4" s="106"/>
      <c r="BY4" s="106"/>
      <c r="BZ4" s="107"/>
    </row>
    <row r="5" spans="1:78" ht="15" customHeight="1" x14ac:dyDescent="0.3">
      <c r="A5" s="45" t="s">
        <v>4</v>
      </c>
      <c r="B5" s="65"/>
      <c r="C5" s="65"/>
      <c r="D5" s="65"/>
      <c r="E5" s="65"/>
      <c r="F5" s="65"/>
      <c r="G5" s="92"/>
      <c r="I5" s="91">
        <v>46085</v>
      </c>
      <c r="J5" s="81">
        <f>I5+1</f>
        <v>46086</v>
      </c>
      <c r="K5" s="81">
        <f t="shared" ref="K5:AX5" si="0">J5+1</f>
        <v>46087</v>
      </c>
      <c r="L5" s="81">
        <f t="shared" si="0"/>
        <v>46088</v>
      </c>
      <c r="M5" s="81">
        <f t="shared" si="0"/>
        <v>46089</v>
      </c>
      <c r="N5" s="81">
        <f t="shared" si="0"/>
        <v>46090</v>
      </c>
      <c r="O5" s="82">
        <f t="shared" si="0"/>
        <v>46091</v>
      </c>
      <c r="P5" s="80">
        <f>O5+1</f>
        <v>46092</v>
      </c>
      <c r="Q5" s="81">
        <f>P5+1</f>
        <v>46093</v>
      </c>
      <c r="R5" s="81">
        <f t="shared" si="0"/>
        <v>46094</v>
      </c>
      <c r="S5" s="81">
        <f>R5+1</f>
        <v>46095</v>
      </c>
      <c r="T5" s="81">
        <f t="shared" si="0"/>
        <v>46096</v>
      </c>
      <c r="U5" s="81">
        <f t="shared" si="0"/>
        <v>46097</v>
      </c>
      <c r="V5" s="111">
        <f t="shared" si="0"/>
        <v>46098</v>
      </c>
      <c r="W5" s="111">
        <f>V5+1</f>
        <v>46099</v>
      </c>
      <c r="X5" s="81">
        <f>W5+1</f>
        <v>46100</v>
      </c>
      <c r="Y5" s="81">
        <f t="shared" si="0"/>
        <v>46101</v>
      </c>
      <c r="Z5" s="81">
        <f t="shared" si="0"/>
        <v>46102</v>
      </c>
      <c r="AA5" s="81">
        <f t="shared" si="0"/>
        <v>46103</v>
      </c>
      <c r="AB5" s="81">
        <f t="shared" si="0"/>
        <v>46104</v>
      </c>
      <c r="AC5" s="82">
        <f t="shared" si="0"/>
        <v>46105</v>
      </c>
      <c r="AD5" s="80">
        <f>AC5+1</f>
        <v>46106</v>
      </c>
      <c r="AE5" s="81">
        <f>AD5+1</f>
        <v>46107</v>
      </c>
      <c r="AF5" s="81">
        <f t="shared" si="0"/>
        <v>46108</v>
      </c>
      <c r="AG5" s="81">
        <f t="shared" si="0"/>
        <v>46109</v>
      </c>
      <c r="AH5" s="81">
        <f t="shared" si="0"/>
        <v>46110</v>
      </c>
      <c r="AI5" s="81">
        <f t="shared" si="0"/>
        <v>46111</v>
      </c>
      <c r="AJ5" s="82">
        <f t="shared" si="0"/>
        <v>46112</v>
      </c>
      <c r="AK5" s="80">
        <f>AJ5+1</f>
        <v>46113</v>
      </c>
      <c r="AL5" s="81">
        <f>AK5+1</f>
        <v>46114</v>
      </c>
      <c r="AM5" s="81">
        <f t="shared" si="0"/>
        <v>46115</v>
      </c>
      <c r="AN5" s="81">
        <f t="shared" si="0"/>
        <v>46116</v>
      </c>
      <c r="AO5" s="81">
        <f t="shared" si="0"/>
        <v>46117</v>
      </c>
      <c r="AP5" s="81">
        <f t="shared" si="0"/>
        <v>46118</v>
      </c>
      <c r="AQ5" s="82">
        <f t="shared" si="0"/>
        <v>46119</v>
      </c>
      <c r="AR5" s="80">
        <f>AQ5+1</f>
        <v>46120</v>
      </c>
      <c r="AS5" s="81">
        <f>AR5+1</f>
        <v>46121</v>
      </c>
      <c r="AT5" s="81">
        <f t="shared" si="0"/>
        <v>46122</v>
      </c>
      <c r="AU5" s="81">
        <f t="shared" si="0"/>
        <v>46123</v>
      </c>
      <c r="AV5" s="81">
        <f t="shared" si="0"/>
        <v>46124</v>
      </c>
      <c r="AW5" s="81">
        <f t="shared" si="0"/>
        <v>46125</v>
      </c>
      <c r="AX5" s="82">
        <f t="shared" si="0"/>
        <v>46126</v>
      </c>
      <c r="AY5" s="80">
        <f>AX5+1</f>
        <v>46127</v>
      </c>
      <c r="AZ5" s="81">
        <f>AY5+1</f>
        <v>46128</v>
      </c>
      <c r="BA5" s="81">
        <f t="shared" ref="BA5:BE5" si="1">AZ5+1</f>
        <v>46129</v>
      </c>
      <c r="BB5" s="81">
        <f t="shared" si="1"/>
        <v>46130</v>
      </c>
      <c r="BC5" s="81">
        <f t="shared" si="1"/>
        <v>46131</v>
      </c>
      <c r="BD5" s="81">
        <f t="shared" si="1"/>
        <v>46132</v>
      </c>
      <c r="BE5" s="82">
        <f t="shared" si="1"/>
        <v>46133</v>
      </c>
      <c r="BF5" s="80">
        <f>BE5+1</f>
        <v>46134</v>
      </c>
      <c r="BG5" s="81">
        <f>BF5+1</f>
        <v>46135</v>
      </c>
      <c r="BH5" s="81">
        <f t="shared" ref="BH5:BL5" si="2">BG5+1</f>
        <v>46136</v>
      </c>
      <c r="BI5" s="81">
        <f t="shared" si="2"/>
        <v>46137</v>
      </c>
      <c r="BJ5" s="81">
        <f t="shared" si="2"/>
        <v>46138</v>
      </c>
      <c r="BK5" s="81">
        <f t="shared" si="2"/>
        <v>46139</v>
      </c>
      <c r="BL5" s="82">
        <f t="shared" si="2"/>
        <v>46140</v>
      </c>
      <c r="BM5" s="82">
        <f t="shared" ref="BM5" si="3">BL5+1</f>
        <v>46141</v>
      </c>
      <c r="BN5" s="82">
        <f t="shared" ref="BN5" si="4">BM5+1</f>
        <v>46142</v>
      </c>
      <c r="BO5" s="82">
        <f t="shared" ref="BO5" si="5">BN5+1</f>
        <v>46143</v>
      </c>
      <c r="BP5" s="82">
        <f t="shared" ref="BP5" si="6">BO5+1</f>
        <v>46144</v>
      </c>
      <c r="BQ5" s="82">
        <f t="shared" ref="BQ5" si="7">BP5+1</f>
        <v>46145</v>
      </c>
      <c r="BR5" s="82">
        <f t="shared" ref="BR5" si="8">BQ5+1</f>
        <v>46146</v>
      </c>
      <c r="BS5" s="82">
        <f t="shared" ref="BS5" si="9">BR5+1</f>
        <v>46147</v>
      </c>
      <c r="BT5" s="82">
        <f t="shared" ref="BT5" si="10">BS5+1</f>
        <v>46148</v>
      </c>
      <c r="BU5" s="82">
        <f t="shared" ref="BU5" si="11">BT5+1</f>
        <v>46149</v>
      </c>
      <c r="BV5" s="82">
        <f t="shared" ref="BV5" si="12">BU5+1</f>
        <v>46150</v>
      </c>
      <c r="BW5" s="82">
        <f t="shared" ref="BW5" si="13">BV5+1</f>
        <v>46151</v>
      </c>
      <c r="BX5" s="82">
        <f t="shared" ref="BX5" si="14">BW5+1</f>
        <v>46152</v>
      </c>
      <c r="BY5" s="82">
        <f t="shared" ref="BY5" si="15">BX5+1</f>
        <v>46153</v>
      </c>
      <c r="BZ5" s="82">
        <f t="shared" ref="BZ5" si="16">BY5+1</f>
        <v>46154</v>
      </c>
    </row>
    <row r="6" spans="1:78" ht="30" customHeight="1" thickBot="1" x14ac:dyDescent="0.35">
      <c r="A6" s="45" t="s">
        <v>5</v>
      </c>
      <c r="B6" s="8" t="s">
        <v>14</v>
      </c>
      <c r="C6" s="9" t="s">
        <v>18</v>
      </c>
      <c r="D6" s="9" t="s">
        <v>19</v>
      </c>
      <c r="E6" s="9" t="s">
        <v>20</v>
      </c>
      <c r="F6" s="9" t="s">
        <v>21</v>
      </c>
      <c r="G6" s="90"/>
      <c r="H6" s="9" t="s">
        <v>22</v>
      </c>
      <c r="I6" s="95" t="str">
        <f t="shared" ref="I6" si="17">LEFT(TEXT(I5,"ddd"),1)</f>
        <v>m</v>
      </c>
      <c r="J6" s="93" t="str">
        <f t="shared" ref="J6:AR6" si="18">LEFT(TEXT(J5,"ddd"),1)</f>
        <v>j</v>
      </c>
      <c r="K6" s="10" t="str">
        <f t="shared" si="18"/>
        <v>v</v>
      </c>
      <c r="L6" s="10" t="str">
        <f t="shared" si="18"/>
        <v>s</v>
      </c>
      <c r="M6" s="10" t="str">
        <f t="shared" si="18"/>
        <v>d</v>
      </c>
      <c r="N6" s="10" t="str">
        <f t="shared" si="18"/>
        <v>l</v>
      </c>
      <c r="O6" s="10" t="str">
        <f t="shared" si="18"/>
        <v>m</v>
      </c>
      <c r="P6" s="10" t="str">
        <f t="shared" si="18"/>
        <v>m</v>
      </c>
      <c r="Q6" s="10" t="str">
        <f t="shared" si="18"/>
        <v>j</v>
      </c>
      <c r="R6" s="97" t="str">
        <f t="shared" si="18"/>
        <v>v</v>
      </c>
      <c r="S6" s="103" t="str">
        <f t="shared" si="18"/>
        <v>s</v>
      </c>
      <c r="T6" s="93" t="str">
        <f t="shared" si="18"/>
        <v>d</v>
      </c>
      <c r="U6" s="10" t="str">
        <f t="shared" si="18"/>
        <v>l</v>
      </c>
      <c r="V6" s="10" t="str">
        <f t="shared" si="18"/>
        <v>m</v>
      </c>
      <c r="W6" s="10" t="str">
        <f t="shared" si="18"/>
        <v>m</v>
      </c>
      <c r="X6" s="10" t="str">
        <f t="shared" si="18"/>
        <v>j</v>
      </c>
      <c r="Y6" s="10" t="str">
        <f t="shared" si="18"/>
        <v>v</v>
      </c>
      <c r="Z6" s="10" t="str">
        <f t="shared" si="18"/>
        <v>s</v>
      </c>
      <c r="AA6" s="10" t="str">
        <f t="shared" si="18"/>
        <v>d</v>
      </c>
      <c r="AB6" s="10" t="str">
        <f t="shared" si="18"/>
        <v>l</v>
      </c>
      <c r="AC6" s="10" t="str">
        <f t="shared" si="18"/>
        <v>m</v>
      </c>
      <c r="AD6" s="10" t="str">
        <f t="shared" si="18"/>
        <v>m</v>
      </c>
      <c r="AE6" s="10" t="str">
        <f t="shared" si="18"/>
        <v>j</v>
      </c>
      <c r="AF6" s="10" t="str">
        <f t="shared" si="18"/>
        <v>v</v>
      </c>
      <c r="AG6" s="10" t="str">
        <f t="shared" si="18"/>
        <v>s</v>
      </c>
      <c r="AH6" s="10" t="str">
        <f t="shared" si="18"/>
        <v>d</v>
      </c>
      <c r="AI6" s="10" t="str">
        <f t="shared" si="18"/>
        <v>l</v>
      </c>
      <c r="AJ6" s="10" t="str">
        <f t="shared" si="18"/>
        <v>m</v>
      </c>
      <c r="AK6" s="10" t="str">
        <f t="shared" si="18"/>
        <v>m</v>
      </c>
      <c r="AL6" s="10" t="str">
        <f t="shared" si="18"/>
        <v>j</v>
      </c>
      <c r="AM6" s="10" t="str">
        <f t="shared" si="18"/>
        <v>v</v>
      </c>
      <c r="AN6" s="10" t="str">
        <f t="shared" si="18"/>
        <v>s</v>
      </c>
      <c r="AO6" s="10" t="str">
        <f t="shared" si="18"/>
        <v>d</v>
      </c>
      <c r="AP6" s="10" t="str">
        <f t="shared" si="18"/>
        <v>l</v>
      </c>
      <c r="AQ6" s="10" t="str">
        <f t="shared" si="18"/>
        <v>m</v>
      </c>
      <c r="AR6" s="10" t="str">
        <f t="shared" si="18"/>
        <v>m</v>
      </c>
      <c r="AS6" s="10" t="str">
        <f t="shared" ref="AS6:BZ6" si="19">LEFT(TEXT(AS5,"ddd"),1)</f>
        <v>j</v>
      </c>
      <c r="AT6" s="10" t="str">
        <f t="shared" si="19"/>
        <v>v</v>
      </c>
      <c r="AU6" s="10" t="str">
        <f t="shared" si="19"/>
        <v>s</v>
      </c>
      <c r="AV6" s="10" t="str">
        <f t="shared" si="19"/>
        <v>d</v>
      </c>
      <c r="AW6" s="10" t="str">
        <f t="shared" si="19"/>
        <v>l</v>
      </c>
      <c r="AX6" s="10" t="str">
        <f t="shared" si="19"/>
        <v>m</v>
      </c>
      <c r="AY6" s="10" t="str">
        <f t="shared" si="19"/>
        <v>m</v>
      </c>
      <c r="AZ6" s="10" t="str">
        <f t="shared" si="19"/>
        <v>j</v>
      </c>
      <c r="BA6" s="10" t="str">
        <f t="shared" si="19"/>
        <v>v</v>
      </c>
      <c r="BB6" s="10" t="str">
        <f t="shared" si="19"/>
        <v>s</v>
      </c>
      <c r="BC6" s="10" t="str">
        <f t="shared" si="19"/>
        <v>d</v>
      </c>
      <c r="BD6" s="10" t="str">
        <f t="shared" si="19"/>
        <v>l</v>
      </c>
      <c r="BE6" s="10" t="str">
        <f t="shared" si="19"/>
        <v>m</v>
      </c>
      <c r="BF6" s="10" t="str">
        <f t="shared" si="19"/>
        <v>m</v>
      </c>
      <c r="BG6" s="10" t="str">
        <f t="shared" si="19"/>
        <v>j</v>
      </c>
      <c r="BH6" s="10" t="str">
        <f t="shared" si="19"/>
        <v>v</v>
      </c>
      <c r="BI6" s="10" t="str">
        <f t="shared" si="19"/>
        <v>s</v>
      </c>
      <c r="BJ6" s="10" t="str">
        <f t="shared" si="19"/>
        <v>d</v>
      </c>
      <c r="BK6" s="10" t="str">
        <f t="shared" si="19"/>
        <v>l</v>
      </c>
      <c r="BL6" s="10" t="str">
        <f t="shared" si="19"/>
        <v>m</v>
      </c>
      <c r="BM6" s="10" t="str">
        <f t="shared" si="19"/>
        <v>m</v>
      </c>
      <c r="BN6" s="10" t="str">
        <f t="shared" si="19"/>
        <v>j</v>
      </c>
      <c r="BO6" s="10" t="str">
        <f t="shared" si="19"/>
        <v>v</v>
      </c>
      <c r="BP6" s="10" t="str">
        <f t="shared" si="19"/>
        <v>s</v>
      </c>
      <c r="BQ6" s="10" t="str">
        <f t="shared" si="19"/>
        <v>d</v>
      </c>
      <c r="BR6" s="10" t="str">
        <f t="shared" si="19"/>
        <v>l</v>
      </c>
      <c r="BS6" s="10" t="str">
        <f t="shared" si="19"/>
        <v>m</v>
      </c>
      <c r="BT6" s="10" t="str">
        <f t="shared" si="19"/>
        <v>m</v>
      </c>
      <c r="BU6" s="10" t="str">
        <f t="shared" si="19"/>
        <v>j</v>
      </c>
      <c r="BV6" s="10" t="str">
        <f t="shared" si="19"/>
        <v>v</v>
      </c>
      <c r="BW6" s="10" t="str">
        <f t="shared" si="19"/>
        <v>s</v>
      </c>
      <c r="BX6" s="10" t="str">
        <f t="shared" si="19"/>
        <v>d</v>
      </c>
      <c r="BY6" s="10" t="str">
        <f t="shared" si="19"/>
        <v>l</v>
      </c>
      <c r="BZ6" s="10" t="str">
        <f t="shared" si="19"/>
        <v>m</v>
      </c>
    </row>
    <row r="7" spans="1:78" ht="30" hidden="1" customHeight="1" thickBot="1" x14ac:dyDescent="0.35">
      <c r="A7" s="44" t="s">
        <v>6</v>
      </c>
      <c r="C7" s="47"/>
      <c r="E7"/>
      <c r="H7" t="str">
        <f>IF(OR(ISBLANK(task_start),ISBLANK(task_end)),"",task_end-task_start+1)</f>
        <v/>
      </c>
      <c r="I7" s="94"/>
      <c r="J7" s="30"/>
      <c r="K7" s="30"/>
      <c r="L7" s="30"/>
      <c r="M7" s="30"/>
      <c r="N7" s="30"/>
      <c r="O7" s="30"/>
      <c r="P7" s="30"/>
      <c r="Q7" s="30"/>
      <c r="R7" s="89"/>
      <c r="S7" s="104"/>
      <c r="T7" s="100"/>
      <c r="U7" s="88"/>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78" s="3" customFormat="1" ht="30" customHeight="1" thickBot="1" x14ac:dyDescent="0.35">
      <c r="A8" s="45" t="s">
        <v>7</v>
      </c>
      <c r="B8" s="15" t="s">
        <v>38</v>
      </c>
      <c r="C8" s="51"/>
      <c r="D8" s="16"/>
      <c r="E8" s="69"/>
      <c r="F8" s="70"/>
      <c r="G8" s="14"/>
      <c r="H8" s="14" t="str">
        <f t="shared" ref="H8:H33" si="20">IF(OR(ISBLANK(task_start),ISBLANK(task_end)),"",task_end-task_start+1)</f>
        <v/>
      </c>
      <c r="I8" s="30"/>
      <c r="J8" s="30"/>
      <c r="K8" s="30"/>
      <c r="L8" s="30"/>
      <c r="M8" s="30"/>
      <c r="N8" s="30"/>
      <c r="O8" s="30"/>
      <c r="P8" s="30"/>
      <c r="Q8" s="87"/>
      <c r="R8" s="101"/>
      <c r="S8" s="101"/>
      <c r="T8" s="101"/>
      <c r="U8" s="101"/>
      <c r="V8" s="96"/>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87"/>
    </row>
    <row r="9" spans="1:78" s="3" customFormat="1" ht="30" customHeight="1" thickBot="1" x14ac:dyDescent="0.35">
      <c r="A9" s="45" t="s">
        <v>8</v>
      </c>
      <c r="B9" s="60" t="s">
        <v>59</v>
      </c>
      <c r="C9" s="52" t="s">
        <v>43</v>
      </c>
      <c r="D9" s="17">
        <v>0.5</v>
      </c>
      <c r="E9" s="83">
        <f>Inicio_del_proyecto</f>
        <v>46085</v>
      </c>
      <c r="F9" s="83">
        <f>E9+3</f>
        <v>46088</v>
      </c>
      <c r="G9" s="14"/>
      <c r="H9" s="14">
        <f t="shared" si="20"/>
        <v>4</v>
      </c>
      <c r="I9" s="30"/>
      <c r="J9" s="30"/>
      <c r="K9" s="30"/>
      <c r="L9" s="30"/>
      <c r="M9" s="30"/>
      <c r="N9" s="30"/>
      <c r="O9" s="30"/>
      <c r="P9" s="30"/>
      <c r="Q9" s="87"/>
      <c r="R9" s="101"/>
      <c r="S9" s="101"/>
      <c r="T9" s="101"/>
      <c r="U9" s="101"/>
      <c r="V9" s="96"/>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87"/>
    </row>
    <row r="10" spans="1:78" s="3" customFormat="1" ht="30" customHeight="1" thickBot="1" x14ac:dyDescent="0.35">
      <c r="A10" s="45" t="s">
        <v>9</v>
      </c>
      <c r="B10" s="60" t="s">
        <v>60</v>
      </c>
      <c r="C10" s="52" t="s">
        <v>47</v>
      </c>
      <c r="D10" s="17">
        <v>0.2</v>
      </c>
      <c r="E10" s="83">
        <f>F9</f>
        <v>46088</v>
      </c>
      <c r="F10" s="83">
        <f>E10+2</f>
        <v>46090</v>
      </c>
      <c r="G10" s="14"/>
      <c r="H10" s="14">
        <f t="shared" si="20"/>
        <v>3</v>
      </c>
      <c r="I10" s="30"/>
      <c r="J10" s="30"/>
      <c r="K10" s="30"/>
      <c r="L10" s="30"/>
      <c r="M10" s="30"/>
      <c r="N10" s="30"/>
      <c r="O10" s="30"/>
      <c r="P10" s="30"/>
      <c r="Q10" s="87"/>
      <c r="R10" s="101"/>
      <c r="S10" s="101"/>
      <c r="T10" s="101"/>
      <c r="U10" s="102"/>
      <c r="V10" s="99"/>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87"/>
    </row>
    <row r="11" spans="1:78" s="3" customFormat="1" ht="30" customHeight="1" thickBot="1" x14ac:dyDescent="0.35">
      <c r="A11" s="44"/>
      <c r="B11" s="60" t="s">
        <v>61</v>
      </c>
      <c r="C11" s="52" t="s">
        <v>43</v>
      </c>
      <c r="D11" s="17">
        <v>0.3</v>
      </c>
      <c r="E11" s="83">
        <f>F10</f>
        <v>46090</v>
      </c>
      <c r="F11" s="83">
        <f>E11+4</f>
        <v>46094</v>
      </c>
      <c r="G11" s="14"/>
      <c r="H11" s="14">
        <f t="shared" si="20"/>
        <v>5</v>
      </c>
      <c r="I11" s="88"/>
      <c r="J11" s="30"/>
      <c r="K11" s="30"/>
      <c r="L11" s="30"/>
      <c r="M11" s="30"/>
      <c r="N11" s="30"/>
      <c r="O11" s="30"/>
      <c r="P11" s="30"/>
      <c r="Q11" s="30"/>
      <c r="R11" s="94"/>
      <c r="T11" s="94"/>
      <c r="U11" s="94"/>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87"/>
    </row>
    <row r="12" spans="1:78" s="3" customFormat="1" ht="30" customHeight="1" thickBot="1" x14ac:dyDescent="0.35">
      <c r="A12" s="44"/>
      <c r="B12" s="60" t="s">
        <v>62</v>
      </c>
      <c r="C12" s="52" t="s">
        <v>43</v>
      </c>
      <c r="D12" s="17">
        <v>1</v>
      </c>
      <c r="E12" s="83">
        <f>F11</f>
        <v>46094</v>
      </c>
      <c r="F12" s="83">
        <f>E12+2</f>
        <v>46096</v>
      </c>
      <c r="G12" s="14"/>
      <c r="H12" s="14">
        <f t="shared" si="20"/>
        <v>3</v>
      </c>
      <c r="I12" s="30"/>
      <c r="J12" s="96"/>
      <c r="K12" s="30"/>
      <c r="L12" s="30"/>
      <c r="M12" s="30"/>
      <c r="N12" s="30"/>
      <c r="O12" s="30"/>
      <c r="P12" s="88"/>
      <c r="Q12" s="30"/>
      <c r="R12" s="30"/>
      <c r="S12" s="30"/>
      <c r="T12" s="30"/>
      <c r="U12" s="30"/>
      <c r="V12" s="30"/>
      <c r="W12" s="30"/>
      <c r="X12" s="30"/>
      <c r="Y12" s="31"/>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87"/>
    </row>
    <row r="13" spans="1:78" s="3" customFormat="1" ht="30" customHeight="1" thickBot="1" x14ac:dyDescent="0.35">
      <c r="A13" s="44"/>
      <c r="B13" s="60" t="s">
        <v>63</v>
      </c>
      <c r="C13" s="52" t="s">
        <v>43</v>
      </c>
      <c r="D13" s="17">
        <v>0.6</v>
      </c>
      <c r="E13" s="83">
        <f>E10+8</f>
        <v>46096</v>
      </c>
      <c r="F13" s="83">
        <f>E13+1</f>
        <v>46097</v>
      </c>
      <c r="G13" s="14"/>
      <c r="H13" s="14">
        <f t="shared" si="20"/>
        <v>2</v>
      </c>
      <c r="I13" s="94"/>
      <c r="J13" s="30"/>
      <c r="K13" s="30"/>
      <c r="L13" s="30"/>
      <c r="M13" s="30"/>
      <c r="N13" s="30"/>
      <c r="O13" s="30"/>
      <c r="P13" s="98"/>
      <c r="Q13" s="30"/>
      <c r="R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87"/>
    </row>
    <row r="14" spans="1:78" s="3" customFormat="1" ht="30" customHeight="1" thickBot="1" x14ac:dyDescent="0.35">
      <c r="A14" s="45" t="s">
        <v>10</v>
      </c>
      <c r="B14" s="18" t="s">
        <v>39</v>
      </c>
      <c r="C14" s="53"/>
      <c r="D14" s="19"/>
      <c r="E14" s="71"/>
      <c r="F14" s="72"/>
      <c r="G14" s="14"/>
      <c r="H14" s="14" t="str">
        <f t="shared" si="20"/>
        <v/>
      </c>
      <c r="I14" s="30"/>
      <c r="J14" s="30"/>
      <c r="K14" s="30"/>
      <c r="L14" s="30"/>
      <c r="M14" s="30"/>
      <c r="N14" s="30"/>
      <c r="O14" s="30"/>
      <c r="P14" s="30"/>
      <c r="Q14" s="30"/>
      <c r="R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87"/>
    </row>
    <row r="15" spans="1:78" s="3" customFormat="1" ht="30" customHeight="1" thickBot="1" x14ac:dyDescent="0.35">
      <c r="A15" s="45"/>
      <c r="B15" s="61" t="s">
        <v>45</v>
      </c>
      <c r="C15" s="54" t="s">
        <v>43</v>
      </c>
      <c r="D15" s="20">
        <v>0.5</v>
      </c>
      <c r="E15" s="84">
        <f>E13+1</f>
        <v>46097</v>
      </c>
      <c r="F15" s="84">
        <f>E15+12</f>
        <v>46109</v>
      </c>
      <c r="G15" s="14"/>
      <c r="H15" s="14">
        <f t="shared" si="20"/>
        <v>13</v>
      </c>
      <c r="I15" s="30"/>
      <c r="J15" s="30"/>
      <c r="K15" s="30"/>
      <c r="L15" s="30"/>
      <c r="M15" s="30"/>
      <c r="N15" s="30"/>
      <c r="O15" s="30"/>
      <c r="P15" s="30"/>
      <c r="Q15" s="30"/>
      <c r="R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87"/>
    </row>
    <row r="16" spans="1:78" s="3" customFormat="1" ht="30" customHeight="1" thickBot="1" x14ac:dyDescent="0.35">
      <c r="A16" s="44"/>
      <c r="B16" s="61" t="s">
        <v>46</v>
      </c>
      <c r="C16" s="54" t="s">
        <v>47</v>
      </c>
      <c r="D16" s="20">
        <v>0.1</v>
      </c>
      <c r="E16" s="84">
        <f>E15+1</f>
        <v>46098</v>
      </c>
      <c r="F16" s="84">
        <f>E16+5</f>
        <v>46103</v>
      </c>
      <c r="G16" s="14"/>
      <c r="H16" s="14">
        <f t="shared" si="20"/>
        <v>6</v>
      </c>
      <c r="I16" s="30"/>
      <c r="J16" s="30"/>
      <c r="K16" s="30"/>
      <c r="L16" s="30"/>
      <c r="M16" s="30"/>
      <c r="N16" s="30"/>
      <c r="O16" s="30"/>
      <c r="P16" s="30"/>
      <c r="Q16" s="30"/>
      <c r="R16" s="30"/>
      <c r="T16" s="30"/>
      <c r="U16" s="31"/>
      <c r="V16" s="31"/>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87"/>
    </row>
    <row r="17" spans="1:78" s="3" customFormat="1" ht="30" customHeight="1" thickBot="1" x14ac:dyDescent="0.35">
      <c r="A17" s="44"/>
      <c r="B17" s="61" t="s">
        <v>48</v>
      </c>
      <c r="C17" s="54" t="s">
        <v>47</v>
      </c>
      <c r="D17" s="20">
        <v>0.4</v>
      </c>
      <c r="E17" s="84">
        <f>AH5</f>
        <v>46110</v>
      </c>
      <c r="F17" s="84">
        <f>E17+3</f>
        <v>46113</v>
      </c>
      <c r="G17" s="14"/>
      <c r="H17" s="14">
        <f t="shared" si="20"/>
        <v>4</v>
      </c>
      <c r="I17" s="30"/>
      <c r="J17" s="30"/>
      <c r="K17" s="30"/>
      <c r="L17" s="30"/>
      <c r="M17" s="30"/>
      <c r="N17" s="30"/>
      <c r="O17" s="30"/>
      <c r="P17" s="30"/>
      <c r="Q17" s="30"/>
      <c r="R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87"/>
    </row>
    <row r="18" spans="1:78" s="3" customFormat="1" ht="30" customHeight="1" thickBot="1" x14ac:dyDescent="0.35">
      <c r="A18" s="44"/>
      <c r="B18" s="61" t="s">
        <v>49</v>
      </c>
      <c r="C18" s="54" t="s">
        <v>50</v>
      </c>
      <c r="D18" s="20">
        <v>0.35</v>
      </c>
      <c r="E18" s="84">
        <f>AL5</f>
        <v>46114</v>
      </c>
      <c r="F18" s="84">
        <f>E18+8</f>
        <v>46122</v>
      </c>
      <c r="G18" s="14"/>
      <c r="H18" s="14">
        <f t="shared" si="20"/>
        <v>9</v>
      </c>
      <c r="I18" s="30"/>
      <c r="J18" s="30"/>
      <c r="K18" s="30"/>
      <c r="L18" s="30"/>
      <c r="M18" s="30"/>
      <c r="N18" s="30"/>
      <c r="O18" s="30"/>
      <c r="P18" s="30"/>
      <c r="Q18" s="30"/>
      <c r="R18" s="30"/>
      <c r="T18" s="30"/>
      <c r="U18" s="30"/>
      <c r="V18" s="30"/>
      <c r="W18" s="30"/>
      <c r="X18" s="30"/>
      <c r="Y18" s="31"/>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87"/>
    </row>
    <row r="19" spans="1:78" s="3" customFormat="1" ht="30" customHeight="1" thickBot="1" x14ac:dyDescent="0.35">
      <c r="A19" s="44"/>
      <c r="B19" s="61" t="s">
        <v>51</v>
      </c>
      <c r="C19" s="54" t="s">
        <v>47</v>
      </c>
      <c r="D19" s="20">
        <v>0.1</v>
      </c>
      <c r="E19" s="84">
        <f>E18</f>
        <v>46114</v>
      </c>
      <c r="F19" s="84">
        <f>E19+3</f>
        <v>46117</v>
      </c>
      <c r="G19" s="14"/>
      <c r="H19" s="14">
        <f t="shared" si="20"/>
        <v>4</v>
      </c>
      <c r="I19" s="30"/>
      <c r="J19" s="30"/>
      <c r="K19" s="30"/>
      <c r="L19" s="30"/>
      <c r="M19" s="30"/>
      <c r="N19" s="30"/>
      <c r="O19" s="30"/>
      <c r="P19" s="30"/>
      <c r="Q19" s="30"/>
      <c r="R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87"/>
    </row>
    <row r="20" spans="1:78" s="3" customFormat="1" ht="30" customHeight="1" thickBot="1" x14ac:dyDescent="0.35">
      <c r="A20" s="44" t="s">
        <v>11</v>
      </c>
      <c r="B20" s="21" t="s">
        <v>40</v>
      </c>
      <c r="C20" s="55"/>
      <c r="D20" s="22"/>
      <c r="E20" s="73"/>
      <c r="F20" s="74"/>
      <c r="G20" s="14"/>
      <c r="H20" s="14" t="str">
        <f t="shared" si="20"/>
        <v/>
      </c>
      <c r="I20" s="30"/>
      <c r="J20" s="30"/>
      <c r="K20" s="30"/>
      <c r="L20" s="30"/>
      <c r="M20" s="30"/>
      <c r="N20" s="30"/>
      <c r="O20" s="30"/>
      <c r="P20" s="30"/>
      <c r="Q20" s="30"/>
      <c r="R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87"/>
    </row>
    <row r="21" spans="1:78" s="3" customFormat="1" ht="30" customHeight="1" thickBot="1" x14ac:dyDescent="0.35">
      <c r="A21" s="44"/>
      <c r="B21" s="62" t="s">
        <v>52</v>
      </c>
      <c r="C21" s="56" t="s">
        <v>47</v>
      </c>
      <c r="D21" s="22">
        <v>0.12</v>
      </c>
      <c r="E21" s="75">
        <f>AP5</f>
        <v>46118</v>
      </c>
      <c r="F21" s="75">
        <f>E21+5</f>
        <v>46123</v>
      </c>
      <c r="G21" s="14"/>
      <c r="H21" s="14">
        <f t="shared" si="20"/>
        <v>6</v>
      </c>
      <c r="I21" s="30"/>
      <c r="J21" s="30"/>
      <c r="K21" s="30"/>
      <c r="L21" s="30"/>
      <c r="M21" s="30"/>
      <c r="N21" s="30"/>
      <c r="O21" s="30"/>
      <c r="P21" s="30"/>
      <c r="Q21" s="30"/>
      <c r="R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87"/>
    </row>
    <row r="22" spans="1:78" s="3" customFormat="1" ht="30" customHeight="1" thickBot="1" x14ac:dyDescent="0.35">
      <c r="A22" s="44"/>
      <c r="B22" s="62" t="s">
        <v>53</v>
      </c>
      <c r="C22" s="56" t="s">
        <v>44</v>
      </c>
      <c r="D22" s="22">
        <v>0.26</v>
      </c>
      <c r="E22" s="75">
        <f>F21</f>
        <v>46123</v>
      </c>
      <c r="F22" s="75">
        <f>E22+8</f>
        <v>46131</v>
      </c>
      <c r="G22" s="14"/>
      <c r="H22" s="14">
        <f t="shared" si="20"/>
        <v>9</v>
      </c>
      <c r="I22" s="30"/>
      <c r="J22" s="30"/>
      <c r="K22" s="30"/>
      <c r="L22" s="30"/>
      <c r="M22" s="30"/>
      <c r="N22" s="30"/>
      <c r="O22" s="30"/>
      <c r="P22" s="30"/>
      <c r="Q22" s="30"/>
      <c r="R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87"/>
    </row>
    <row r="23" spans="1:78" s="3" customFormat="1" ht="30" customHeight="1" thickBot="1" x14ac:dyDescent="0.35">
      <c r="A23" s="44"/>
      <c r="B23" s="62" t="s">
        <v>55</v>
      </c>
      <c r="C23" s="56" t="s">
        <v>54</v>
      </c>
      <c r="D23" s="22">
        <v>0.15</v>
      </c>
      <c r="E23" s="75">
        <f>E22+5</f>
        <v>46128</v>
      </c>
      <c r="F23" s="75">
        <f>E23+5</f>
        <v>46133</v>
      </c>
      <c r="G23" s="14"/>
      <c r="H23" s="14">
        <f t="shared" si="20"/>
        <v>6</v>
      </c>
      <c r="I23" s="30"/>
      <c r="J23" s="30"/>
      <c r="K23" s="30"/>
      <c r="L23" s="30"/>
      <c r="M23" s="30"/>
      <c r="N23" s="30"/>
      <c r="O23" s="30"/>
      <c r="P23" s="30"/>
      <c r="Q23" s="30"/>
      <c r="R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87"/>
    </row>
    <row r="24" spans="1:78" s="3" customFormat="1" ht="30" customHeight="1" thickBot="1" x14ac:dyDescent="0.35">
      <c r="A24" s="44"/>
      <c r="B24" s="62" t="s">
        <v>56</v>
      </c>
      <c r="C24" s="56" t="s">
        <v>44</v>
      </c>
      <c r="D24" s="22">
        <v>0.1</v>
      </c>
      <c r="E24" s="75">
        <f>BG5</f>
        <v>46135</v>
      </c>
      <c r="F24" s="75">
        <f>E24+4</f>
        <v>46139</v>
      </c>
      <c r="G24" s="14"/>
      <c r="H24" s="14">
        <f t="shared" si="20"/>
        <v>5</v>
      </c>
      <c r="I24" s="30"/>
      <c r="J24" s="30"/>
      <c r="K24" s="30"/>
      <c r="L24" s="30"/>
      <c r="M24" s="30"/>
      <c r="N24" s="30"/>
      <c r="O24" s="30"/>
      <c r="P24" s="30"/>
      <c r="Q24" s="30"/>
      <c r="R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87"/>
    </row>
    <row r="25" spans="1:78" s="3" customFormat="1" ht="30" customHeight="1" thickBot="1" x14ac:dyDescent="0.35">
      <c r="A25" s="44"/>
      <c r="B25" s="62" t="s">
        <v>57</v>
      </c>
      <c r="C25" s="56" t="s">
        <v>47</v>
      </c>
      <c r="D25" s="22">
        <v>0.15</v>
      </c>
      <c r="E25" s="75">
        <f>E23</f>
        <v>46128</v>
      </c>
      <c r="F25" s="75">
        <f>E25+5</f>
        <v>46133</v>
      </c>
      <c r="G25" s="14"/>
      <c r="H25" s="14">
        <f t="shared" si="20"/>
        <v>6</v>
      </c>
      <c r="I25" s="30"/>
      <c r="J25" s="30"/>
      <c r="K25" s="30"/>
      <c r="L25" s="30"/>
      <c r="M25" s="30"/>
      <c r="N25" s="30"/>
      <c r="O25" s="30"/>
      <c r="P25" s="30"/>
      <c r="Q25" s="30"/>
      <c r="R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87"/>
    </row>
    <row r="26" spans="1:78" s="3" customFormat="1" ht="30" customHeight="1" thickBot="1" x14ac:dyDescent="0.35">
      <c r="A26" s="44" t="s">
        <v>11</v>
      </c>
      <c r="B26" s="23" t="s">
        <v>41</v>
      </c>
      <c r="C26" s="57"/>
      <c r="D26" s="24"/>
      <c r="E26" s="76"/>
      <c r="F26" s="77"/>
      <c r="G26" s="14"/>
      <c r="H26" s="14" t="str">
        <f t="shared" si="20"/>
        <v/>
      </c>
      <c r="I26" s="30"/>
      <c r="J26" s="30"/>
      <c r="K26" s="30"/>
      <c r="L26" s="30"/>
      <c r="M26" s="30"/>
      <c r="N26" s="30"/>
      <c r="O26" s="30"/>
      <c r="P26" s="30"/>
      <c r="Q26" s="30"/>
      <c r="R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87"/>
    </row>
    <row r="27" spans="1:78" s="3" customFormat="1" ht="30" customHeight="1" thickBot="1" x14ac:dyDescent="0.35">
      <c r="A27" s="44"/>
      <c r="B27" s="63" t="s">
        <v>58</v>
      </c>
      <c r="C27" s="58" t="s">
        <v>44</v>
      </c>
      <c r="D27" s="25">
        <v>0</v>
      </c>
      <c r="E27" s="85">
        <f>BP5</f>
        <v>46144</v>
      </c>
      <c r="F27" s="85">
        <f>E27+2</f>
        <v>46146</v>
      </c>
      <c r="G27" s="14"/>
      <c r="H27" s="14">
        <f t="shared" si="20"/>
        <v>3</v>
      </c>
      <c r="I27" s="30"/>
      <c r="J27" s="30"/>
      <c r="K27" s="30"/>
      <c r="L27" s="30"/>
      <c r="M27" s="30"/>
      <c r="N27" s="30"/>
      <c r="O27" s="30"/>
      <c r="P27" s="30"/>
      <c r="Q27" s="30"/>
      <c r="R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87"/>
    </row>
    <row r="28" spans="1:78" s="3" customFormat="1" ht="30" customHeight="1" thickBot="1" x14ac:dyDescent="0.35">
      <c r="A28" s="44"/>
      <c r="B28" s="63" t="s">
        <v>64</v>
      </c>
      <c r="C28" s="58" t="s">
        <v>50</v>
      </c>
      <c r="D28" s="25">
        <v>0</v>
      </c>
      <c r="E28" s="85">
        <f>BP5</f>
        <v>46144</v>
      </c>
      <c r="F28" s="85">
        <f>E28+2</f>
        <v>46146</v>
      </c>
      <c r="G28" s="14"/>
      <c r="H28" s="14">
        <f t="shared" si="20"/>
        <v>3</v>
      </c>
      <c r="I28" s="30"/>
      <c r="J28" s="30"/>
      <c r="K28" s="30"/>
      <c r="L28" s="30"/>
      <c r="M28" s="30"/>
      <c r="N28" s="30"/>
      <c r="O28" s="30"/>
      <c r="P28" s="30"/>
      <c r="Q28" s="30"/>
      <c r="R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87"/>
    </row>
    <row r="29" spans="1:78" s="3" customFormat="1" ht="30" customHeight="1" thickBot="1" x14ac:dyDescent="0.35">
      <c r="A29" s="44"/>
      <c r="B29" s="63" t="s">
        <v>65</v>
      </c>
      <c r="C29" s="58" t="s">
        <v>43</v>
      </c>
      <c r="D29" s="25">
        <v>0</v>
      </c>
      <c r="E29" s="85">
        <f>BP5</f>
        <v>46144</v>
      </c>
      <c r="F29" s="85">
        <f>E29+5</f>
        <v>46149</v>
      </c>
      <c r="G29" s="14"/>
      <c r="H29" s="14">
        <f t="shared" si="20"/>
        <v>6</v>
      </c>
      <c r="I29" s="30"/>
      <c r="J29" s="30"/>
      <c r="K29" s="30"/>
      <c r="L29" s="30"/>
      <c r="M29" s="30"/>
      <c r="N29" s="30"/>
      <c r="O29" s="30"/>
      <c r="P29" s="30"/>
      <c r="Q29" s="30"/>
      <c r="R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87"/>
    </row>
    <row r="30" spans="1:78" s="3" customFormat="1" ht="30" customHeight="1" thickBot="1" x14ac:dyDescent="0.35">
      <c r="A30" s="44"/>
      <c r="B30" s="63" t="s">
        <v>66</v>
      </c>
      <c r="C30" s="58" t="s">
        <v>44</v>
      </c>
      <c r="D30" s="25">
        <v>0</v>
      </c>
      <c r="E30" s="85">
        <f>F29</f>
        <v>46149</v>
      </c>
      <c r="F30" s="85">
        <f>E30+1</f>
        <v>46150</v>
      </c>
      <c r="G30" s="14"/>
      <c r="H30" s="14">
        <f t="shared" si="20"/>
        <v>2</v>
      </c>
      <c r="I30" s="30"/>
      <c r="J30" s="30"/>
      <c r="K30" s="30"/>
      <c r="L30" s="30"/>
      <c r="M30" s="30"/>
      <c r="N30" s="30"/>
      <c r="O30" s="30"/>
      <c r="P30" s="30"/>
      <c r="Q30" s="30"/>
      <c r="R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87"/>
    </row>
    <row r="31" spans="1:78" s="3" customFormat="1" ht="30" customHeight="1" thickBot="1" x14ac:dyDescent="0.35">
      <c r="A31" s="44"/>
      <c r="B31" s="63" t="s">
        <v>67</v>
      </c>
      <c r="C31" s="58" t="s">
        <v>43</v>
      </c>
      <c r="D31" s="25">
        <v>0</v>
      </c>
      <c r="E31" s="85">
        <f>BW5</f>
        <v>46151</v>
      </c>
      <c r="F31" s="85">
        <f>E31+2</f>
        <v>46153</v>
      </c>
      <c r="G31" s="14"/>
      <c r="H31" s="14">
        <f t="shared" si="20"/>
        <v>3</v>
      </c>
      <c r="I31" s="30"/>
      <c r="J31" s="30"/>
      <c r="K31" s="30"/>
      <c r="L31" s="30"/>
      <c r="M31" s="30"/>
      <c r="N31" s="30"/>
      <c r="O31" s="30"/>
      <c r="P31" s="30"/>
      <c r="Q31" s="30"/>
      <c r="R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row>
    <row r="32" spans="1:78" s="3" customFormat="1" ht="30" customHeight="1" thickBot="1" x14ac:dyDescent="0.35">
      <c r="A32" s="44" t="s">
        <v>12</v>
      </c>
      <c r="B32" s="64"/>
      <c r="C32" s="59"/>
      <c r="D32" s="13"/>
      <c r="E32" s="86"/>
      <c r="F32" s="86"/>
      <c r="G32" s="14"/>
      <c r="H32" s="14" t="str">
        <f t="shared" si="20"/>
        <v/>
      </c>
      <c r="I32" s="32"/>
      <c r="J32" s="30"/>
      <c r="K32" s="30"/>
      <c r="L32" s="30"/>
      <c r="M32" s="30"/>
      <c r="N32" s="30"/>
      <c r="O32" s="30"/>
      <c r="P32" s="30"/>
      <c r="Q32" s="30"/>
      <c r="R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87"/>
    </row>
    <row r="33" spans="1:84" s="3" customFormat="1" ht="30" customHeight="1" thickBot="1" x14ac:dyDescent="0.35">
      <c r="A33" s="45" t="s">
        <v>13</v>
      </c>
      <c r="B33" s="26" t="s">
        <v>15</v>
      </c>
      <c r="C33" s="27"/>
      <c r="D33" s="28"/>
      <c r="E33" s="78"/>
      <c r="F33" s="79"/>
      <c r="G33" s="29"/>
      <c r="H33" s="29" t="str">
        <f t="shared" si="20"/>
        <v/>
      </c>
      <c r="I33" s="32"/>
      <c r="J33" s="32"/>
      <c r="K33" s="32"/>
      <c r="L33" s="32"/>
      <c r="M33" s="32"/>
      <c r="N33" s="32"/>
      <c r="O33" s="32"/>
      <c r="P33" s="32"/>
      <c r="Q33" s="32"/>
      <c r="R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88"/>
      <c r="BN33" s="88"/>
      <c r="BO33" s="88"/>
      <c r="BP33" s="88"/>
      <c r="BQ33" s="88"/>
      <c r="BR33" s="88"/>
      <c r="BS33" s="88"/>
      <c r="BT33" s="88"/>
      <c r="BU33" s="88"/>
      <c r="BV33" s="88"/>
      <c r="BW33" s="88"/>
      <c r="BX33" s="88"/>
      <c r="BY33" s="88"/>
      <c r="BZ33" s="89"/>
    </row>
    <row r="34" spans="1:84" ht="30" customHeight="1" x14ac:dyDescent="0.3">
      <c r="G34" s="6"/>
      <c r="BM34" s="3"/>
      <c r="BN34" s="3"/>
      <c r="BO34" s="3"/>
      <c r="BP34" s="3"/>
      <c r="BQ34" s="3"/>
      <c r="BR34" s="3"/>
      <c r="BS34" s="3"/>
      <c r="BT34" s="3"/>
      <c r="BU34" s="3"/>
      <c r="BV34" s="3"/>
      <c r="BW34" s="3"/>
      <c r="BX34" s="3"/>
      <c r="BY34" s="3"/>
      <c r="BZ34" s="3"/>
      <c r="CA34" s="3"/>
      <c r="CB34" s="3"/>
      <c r="CC34" s="3"/>
      <c r="CD34" s="3"/>
      <c r="CE34" s="3"/>
      <c r="CF34" s="3"/>
    </row>
    <row r="35" spans="1:84" ht="30" customHeight="1" x14ac:dyDescent="0.3">
      <c r="C35" s="11"/>
      <c r="F35" s="46"/>
      <c r="BM35" s="3"/>
      <c r="BN35" s="3"/>
      <c r="BO35" s="3"/>
      <c r="BP35" s="3"/>
      <c r="BQ35" s="3"/>
      <c r="BR35" s="3"/>
      <c r="BS35" s="3"/>
      <c r="BT35" s="3"/>
      <c r="BU35" s="3"/>
      <c r="BV35" s="3"/>
      <c r="BW35" s="3"/>
      <c r="BX35" s="3"/>
      <c r="BY35" s="3"/>
      <c r="BZ35" s="3"/>
      <c r="CA35" s="3"/>
      <c r="CB35" s="3"/>
      <c r="CC35" s="3"/>
      <c r="CD35" s="3"/>
      <c r="CE35" s="3"/>
      <c r="CF35" s="3"/>
    </row>
    <row r="36" spans="1:84" ht="30" customHeight="1" x14ac:dyDescent="0.3">
      <c r="C36" s="12"/>
      <c r="BM36" s="3"/>
      <c r="BN36" s="3"/>
      <c r="BO36" s="3"/>
      <c r="BP36" s="3"/>
      <c r="BQ36" s="3"/>
      <c r="BR36" s="3"/>
      <c r="BS36" s="3"/>
      <c r="BT36" s="3"/>
      <c r="BU36" s="3"/>
      <c r="BV36" s="3"/>
      <c r="BW36" s="3"/>
      <c r="BX36" s="3"/>
      <c r="BY36" s="3"/>
      <c r="BZ36" s="3"/>
      <c r="CA36" s="3"/>
      <c r="CB36" s="3"/>
      <c r="CC36" s="3"/>
      <c r="CD36" s="3"/>
      <c r="CE36" s="3"/>
      <c r="CF36" s="3"/>
    </row>
    <row r="37" spans="1:84" ht="30" customHeight="1" x14ac:dyDescent="0.3">
      <c r="BM37" s="3"/>
      <c r="BN37" s="3"/>
      <c r="BO37" s="3"/>
      <c r="BP37" s="3"/>
      <c r="BQ37" s="3"/>
      <c r="BR37" s="3"/>
      <c r="BS37" s="3"/>
      <c r="BT37" s="3"/>
      <c r="BU37" s="3"/>
      <c r="BV37" s="3"/>
      <c r="BW37" s="3"/>
      <c r="BX37" s="3"/>
      <c r="BY37" s="3"/>
      <c r="BZ37" s="3"/>
      <c r="CA37" s="3"/>
      <c r="CB37" s="3"/>
      <c r="CC37" s="3"/>
      <c r="CD37" s="3"/>
      <c r="CE37" s="3"/>
      <c r="CF37" s="3"/>
    </row>
    <row r="38" spans="1:84" ht="30" customHeight="1" x14ac:dyDescent="0.3">
      <c r="BM38" s="3"/>
      <c r="BN38" s="3"/>
      <c r="BO38" s="3"/>
      <c r="BP38" s="3"/>
      <c r="BQ38" s="3"/>
      <c r="BR38" s="3"/>
      <c r="BS38" s="3"/>
      <c r="BT38" s="3"/>
      <c r="BU38" s="3"/>
      <c r="BV38" s="3"/>
      <c r="BW38" s="3"/>
      <c r="BX38" s="3"/>
      <c r="BY38" s="3"/>
      <c r="BZ38" s="3"/>
      <c r="CA38" s="3"/>
      <c r="CB38" s="3"/>
      <c r="CC38" s="3"/>
      <c r="CD38" s="3"/>
      <c r="CE38" s="3"/>
      <c r="CF38" s="3"/>
    </row>
    <row r="39" spans="1:84" ht="30" customHeight="1" x14ac:dyDescent="0.3">
      <c r="BM39" s="3"/>
      <c r="BN39" s="3"/>
      <c r="BO39" s="3"/>
      <c r="BP39" s="3"/>
      <c r="BQ39" s="3"/>
      <c r="BR39" s="3"/>
      <c r="BS39" s="3"/>
      <c r="BT39" s="3"/>
      <c r="BU39" s="3"/>
      <c r="BV39" s="3"/>
      <c r="BW39" s="3"/>
      <c r="BX39" s="3"/>
      <c r="BY39" s="3"/>
      <c r="BZ39" s="3"/>
      <c r="CA39" s="3"/>
      <c r="CB39" s="3"/>
      <c r="CC39" s="3"/>
      <c r="CD39" s="3"/>
      <c r="CE39" s="3"/>
      <c r="CF39" s="3"/>
    </row>
    <row r="40" spans="1:84" ht="30" customHeight="1" x14ac:dyDescent="0.3">
      <c r="BM40" s="3"/>
      <c r="BN40" s="3"/>
      <c r="BO40" s="3"/>
      <c r="BP40" s="3"/>
      <c r="BQ40" s="3"/>
      <c r="BR40" s="3"/>
      <c r="BS40" s="3"/>
      <c r="BT40" s="3"/>
      <c r="BU40" s="3"/>
      <c r="BV40" s="3"/>
      <c r="BW40" s="3"/>
      <c r="BX40" s="3"/>
      <c r="BY40" s="3"/>
      <c r="BZ40" s="3"/>
      <c r="CA40" s="3"/>
      <c r="CB40" s="3"/>
      <c r="CC40" s="3"/>
      <c r="CD40" s="3"/>
      <c r="CE40" s="3"/>
      <c r="CF40" s="3"/>
    </row>
  </sheetData>
  <mergeCells count="13">
    <mergeCell ref="C3:D3"/>
    <mergeCell ref="C4:D4"/>
    <mergeCell ref="AK4:AQ4"/>
    <mergeCell ref="AR4:AX4"/>
    <mergeCell ref="AY4:BE4"/>
    <mergeCell ref="BM4:BS4"/>
    <mergeCell ref="BT4:BZ4"/>
    <mergeCell ref="BF4:BL4"/>
    <mergeCell ref="E3:F3"/>
    <mergeCell ref="I4:O4"/>
    <mergeCell ref="P4:V4"/>
    <mergeCell ref="W4:AC4"/>
    <mergeCell ref="AD4:AJ4"/>
  </mergeCells>
  <conditionalFormatting sqref="D7:D33">
    <cfRule type="dataBar" priority="3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8:I11 I13:I32">
    <cfRule type="expression" dxfId="11" priority="59">
      <formula>AND(TODAY()&gt;=S$5,TODAY()&lt;T$5)</formula>
    </cfRule>
    <cfRule type="expression" dxfId="10" priority="62">
      <formula>AND(task_start&lt;=S$5,ROUNDDOWN((task_end-task_start+1)*task_progress,0)+task_start-1&gt;=S$5)</formula>
    </cfRule>
    <cfRule type="expression" dxfId="9" priority="63" stopIfTrue="1">
      <formula>AND(task_end&gt;=S$5,task_start&lt;T$5)</formula>
    </cfRule>
  </conditionalFormatting>
  <conditionalFormatting sqref="I5:BL7 T8:BZ8 J8:R11 T9:BL11 I12:BL12 J13:R32 T13:BL33 I33:R33 BM5:BZ6">
    <cfRule type="expression" dxfId="8" priority="57">
      <formula>AND(TODAY()&gt;=I$5,TODAY()&lt;J$5)</formula>
    </cfRule>
  </conditionalFormatting>
  <conditionalFormatting sqref="I7:BL7 T8:BZ8 J8:R11 T9:BL11 I12:BL12 J13:R32 T13:BL33 I33:R33">
    <cfRule type="expression" dxfId="7" priority="51">
      <formula>AND(task_start&lt;=I$5,ROUNDDOWN((task_end-task_start+1)*task_progress,0)+task_start-1&gt;=I$5)</formula>
    </cfRule>
    <cfRule type="expression" dxfId="6" priority="52" stopIfTrue="1">
      <formula>AND(task_end&gt;=I$5,task_start&lt;J$5)</formula>
    </cfRule>
  </conditionalFormatting>
  <conditionalFormatting sqref="BM9:CF40">
    <cfRule type="expression" dxfId="5" priority="1">
      <formula>AND(task_start&lt;=BM$5,ROUNDDOWN((task_end-task_start+1)*task_progress,0)+task_start-1&gt;=BM$5)</formula>
    </cfRule>
    <cfRule type="expression" dxfId="4" priority="2" stopIfTrue="1">
      <formula>AND(task_end&gt;=BM$5,task_start&lt;BN$5)</formula>
    </cfRule>
    <cfRule type="expression" dxfId="3" priority="3">
      <formula>AND(TODAY()&gt;=BM$5,TODAY()&lt;BN$5)</formula>
    </cfRule>
  </conditionalFormatting>
  <conditionalFormatting sqref="CG19:CH26">
    <cfRule type="expression" dxfId="2" priority="16">
      <formula>AND(task_start&lt;=CG$5,ROUNDDOWN((task_end-task_start+1)*task_progress,0)+task_start-1&gt;=CG$5)</formula>
    </cfRule>
    <cfRule type="expression" dxfId="1" priority="17" stopIfTrue="1">
      <formula>AND(task_end&gt;=CG$5,task_start&lt;CH$5)</formula>
    </cfRule>
    <cfRule type="expression" dxfId="0" priority="18">
      <formula>AND(TODAY()&gt;=CG$5,TODAY()&lt;CH$5)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5" zoomScaleNormal="100" workbookViewId="0"/>
  </sheetViews>
  <sheetFormatPr baseColWidth="10" defaultColWidth="9.109375" defaultRowHeight="13.8" x14ac:dyDescent="0.3"/>
  <cols>
    <col min="1" max="1" width="87.109375" style="34" customWidth="1"/>
    <col min="2" max="16384" width="9.109375" style="2"/>
  </cols>
  <sheetData>
    <row r="1" spans="1:2" ht="46.5" customHeight="1" x14ac:dyDescent="0.3"/>
    <row r="2" spans="1:2" s="36" customFormat="1" ht="15.6" x14ac:dyDescent="0.3">
      <c r="A2" s="35" t="s">
        <v>23</v>
      </c>
      <c r="B2" s="35"/>
    </row>
    <row r="3" spans="1:2" s="40" customFormat="1" ht="27" customHeight="1" x14ac:dyDescent="0.3">
      <c r="A3" s="68" t="s">
        <v>24</v>
      </c>
      <c r="B3" s="41"/>
    </row>
    <row r="4" spans="1:2" s="37" customFormat="1" ht="25.8" x14ac:dyDescent="0.5">
      <c r="A4" s="38" t="s">
        <v>25</v>
      </c>
    </row>
    <row r="5" spans="1:2" ht="74.099999999999994" customHeight="1" x14ac:dyDescent="0.3">
      <c r="A5" s="39" t="s">
        <v>26</v>
      </c>
    </row>
    <row r="6" spans="1:2" ht="26.25" customHeight="1" x14ac:dyDescent="0.3">
      <c r="A6" s="38" t="s">
        <v>27</v>
      </c>
    </row>
    <row r="7" spans="1:2" s="34" customFormat="1" ht="215.25" customHeight="1" x14ac:dyDescent="0.3">
      <c r="A7" s="43" t="s">
        <v>28</v>
      </c>
    </row>
    <row r="8" spans="1:2" s="37" customFormat="1" ht="25.8" x14ac:dyDescent="0.5">
      <c r="A8" s="38" t="s">
        <v>29</v>
      </c>
    </row>
    <row r="9" spans="1:2" ht="57.6" x14ac:dyDescent="0.3">
      <c r="A9" s="39" t="s">
        <v>30</v>
      </c>
    </row>
    <row r="10" spans="1:2" s="34" customFormat="1" ht="27.9" customHeight="1" x14ac:dyDescent="0.3">
      <c r="A10" s="42" t="s">
        <v>31</v>
      </c>
    </row>
    <row r="11" spans="1:2" s="37" customFormat="1" ht="25.8" x14ac:dyDescent="0.5">
      <c r="A11" s="38" t="s">
        <v>32</v>
      </c>
    </row>
    <row r="12" spans="1:2" ht="28.8" x14ac:dyDescent="0.3">
      <c r="A12" s="39" t="s">
        <v>33</v>
      </c>
    </row>
    <row r="13" spans="1:2" s="34" customFormat="1" ht="27.9" customHeight="1" x14ac:dyDescent="0.3">
      <c r="A13" s="42" t="s">
        <v>34</v>
      </c>
    </row>
    <row r="14" spans="1:2" s="37" customFormat="1" ht="25.8" x14ac:dyDescent="0.5">
      <c r="A14" s="38" t="s">
        <v>35</v>
      </c>
    </row>
    <row r="15" spans="1:2" ht="96.75" customHeight="1" x14ac:dyDescent="0.3">
      <c r="A15" s="39" t="s">
        <v>36</v>
      </c>
    </row>
    <row r="16" spans="1:2" ht="86.4" x14ac:dyDescent="0.3">
      <c r="A16" s="39"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2026-03-17T23:26:02Z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